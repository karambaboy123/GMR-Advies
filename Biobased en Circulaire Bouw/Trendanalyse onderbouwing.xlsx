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óryonos\Documents\HAN\F\"/>
    </mc:Choice>
  </mc:AlternateContent>
  <xr:revisionPtr revIDLastSave="0" documentId="13_ncr:1_{5D5D2C46-EA53-4C03-B991-D1520574622E}" xr6:coauthVersionLast="47" xr6:coauthVersionMax="47" xr10:uidLastSave="{00000000-0000-0000-0000-000000000000}"/>
  <bookViews>
    <workbookView xWindow="-108" yWindow="-108" windowWidth="23256" windowHeight="12456" xr2:uid="{9E9A3572-47FA-499A-BE6D-4863F95C5064}"/>
  </bookViews>
  <sheets>
    <sheet name="Woningvoorra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F18" i="1"/>
  <c r="E18" i="1"/>
  <c r="D17" i="1"/>
  <c r="C17" i="1"/>
  <c r="G15" i="1"/>
  <c r="G13" i="1"/>
  <c r="F16" i="1"/>
  <c r="E16" i="1"/>
  <c r="D15" i="1"/>
  <c r="C15" i="1"/>
  <c r="F14" i="1"/>
  <c r="E14" i="1"/>
  <c r="D13" i="1"/>
  <c r="C11" i="1"/>
  <c r="C13" i="1"/>
  <c r="G11" i="1"/>
  <c r="F12" i="1"/>
  <c r="E12" i="1"/>
  <c r="D11" i="1"/>
  <c r="G9" i="1"/>
  <c r="F10" i="1"/>
  <c r="E10" i="1"/>
  <c r="D9" i="1"/>
  <c r="C9" i="1"/>
  <c r="G19" i="1"/>
  <c r="D19" i="1"/>
  <c r="F20" i="1"/>
  <c r="E20" i="1"/>
  <c r="C19" i="1"/>
</calcChain>
</file>

<file path=xl/sharedStrings.xml><?xml version="1.0" encoding="utf-8"?>
<sst xmlns="http://schemas.openxmlformats.org/spreadsheetml/2006/main" count="26" uniqueCount="26">
  <si>
    <t>Woningvoorraad Nederland</t>
  </si>
  <si>
    <t>Totale woningvoorraad</t>
  </si>
  <si>
    <t>Koopwoningen</t>
  </si>
  <si>
    <t>Huurwoningen</t>
  </si>
  <si>
    <t>Overige verhuurders</t>
  </si>
  <si>
    <t>Onbekend</t>
  </si>
  <si>
    <t>Woningcorporatie</t>
  </si>
  <si>
    <t>(CBS, z.d.) geraadpleegd op 16-4-2026</t>
  </si>
  <si>
    <t>Percentuele verhoudingen</t>
  </si>
  <si>
    <t>Totaal personen huishoudens</t>
  </si>
  <si>
    <t>Thuiswonend kind</t>
  </si>
  <si>
    <t>Alleenstaand</t>
  </si>
  <si>
    <t>Samenwonend</t>
  </si>
  <si>
    <t>Totaal particuliere huishoudens</t>
  </si>
  <si>
    <t>1 persoon</t>
  </si>
  <si>
    <t>2 persoons</t>
  </si>
  <si>
    <t>3 persoons</t>
  </si>
  <si>
    <t>4 persoons</t>
  </si>
  <si>
    <t>5+ persoons</t>
  </si>
  <si>
    <t>Totaal &gt;1 persoons</t>
  </si>
  <si>
    <t>Gemiddeld</t>
  </si>
  <si>
    <t>Overig</t>
  </si>
  <si>
    <t>Personen particuliere</t>
  </si>
  <si>
    <t xml:space="preserve">Personen institutionele </t>
  </si>
  <si>
    <t>1 Ouder</t>
  </si>
  <si>
    <t>Particulieren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</si>
</sst>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rgb="FF091D23"/>
      <name val="Arial"/>
      <family val="2"/>
    </font>
    <font>
      <sz val="11"/>
      <color rgb="FF091D2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2">
    <xf numFmtId="0" fontId="0" fillId="0" borderId="0" xfId="0"/>
    <xf numFmtId="3" fontId="2" fillId="2" borderId="0" xfId="0" applyNumberFormat="1" applyFont="1" applyFill="1" applyAlignment="1">
      <alignment horizontal="right" vertical="top" indent="1"/>
    </xf>
    <xf numFmtId="0" fontId="0" fillId="0" borderId="0" xfId="0" applyAlignment="1">
      <alignment horizontal="left"/>
    </xf>
    <xf numFmtId="9" fontId="0" fillId="0" borderId="0" xfId="1" applyFont="1"/>
    <xf numFmtId="0" fontId="5" fillId="2" borderId="0" xfId="2" applyFont="1" applyFill="1" applyBorder="1" applyAlignment="1">
      <alignment horizontal="left" vertical="top"/>
    </xf>
    <xf numFmtId="0" fontId="4" fillId="0" borderId="0" xfId="2" applyBorder="1" applyAlignment="1">
      <alignment horizontal="left" vertical="center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3" fontId="3" fillId="2" borderId="0" xfId="0" applyNumberFormat="1" applyFont="1" applyFill="1" applyAlignment="1">
      <alignment vertical="top"/>
    </xf>
    <xf numFmtId="3" fontId="3" fillId="0" borderId="0" xfId="0" applyNumberFormat="1" applyFont="1"/>
    <xf numFmtId="164" fontId="0" fillId="0" borderId="0" xfId="0" applyNumberFormat="1"/>
    <xf numFmtId="164" fontId="0" fillId="0" borderId="0" xfId="1" applyNumberFormat="1" applyFont="1"/>
    <xf numFmtId="164" fontId="0" fillId="3" borderId="0" xfId="0" applyNumberFormat="1" applyFill="1"/>
    <xf numFmtId="164" fontId="0" fillId="3" borderId="0" xfId="1" applyNumberFormat="1" applyFont="1" applyFill="1" applyBorder="1" applyAlignment="1"/>
    <xf numFmtId="164" fontId="0" fillId="3" borderId="0" xfId="1" applyNumberFormat="1" applyFont="1" applyFill="1"/>
    <xf numFmtId="9" fontId="0" fillId="3" borderId="0" xfId="0" applyNumberFormat="1" applyFill="1"/>
    <xf numFmtId="9" fontId="0" fillId="3" borderId="0" xfId="1" applyFont="1" applyFill="1"/>
    <xf numFmtId="164" fontId="0" fillId="3" borderId="0" xfId="1" applyNumberFormat="1" applyFont="1" applyFill="1" applyAlignment="1"/>
    <xf numFmtId="164" fontId="0" fillId="4" borderId="0" xfId="0" applyNumberFormat="1" applyFill="1"/>
    <xf numFmtId="164" fontId="0" fillId="4" borderId="0" xfId="1" applyNumberFormat="1" applyFont="1" applyFill="1" applyBorder="1" applyAlignment="1"/>
    <xf numFmtId="164" fontId="0" fillId="4" borderId="0" xfId="1" applyNumberFormat="1" applyFont="1" applyFill="1"/>
    <xf numFmtId="9" fontId="0" fillId="4" borderId="0" xfId="0" applyNumberFormat="1" applyFill="1"/>
    <xf numFmtId="9" fontId="0" fillId="4" borderId="0" xfId="1" applyFont="1" applyFill="1"/>
    <xf numFmtId="3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3" fontId="0" fillId="0" borderId="0" xfId="0" applyNumberFormat="1" applyAlignment="1">
      <alignment horizontal="left" vertical="top"/>
    </xf>
    <xf numFmtId="10" fontId="0" fillId="0" borderId="0" xfId="0" applyNumberFormat="1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vertical="top"/>
    </xf>
  </cellXfs>
  <cellStyles count="3">
    <cellStyle name="Hyperlink" xfId="2" builtinId="8"/>
    <cellStyle name="Procent" xfId="1" builtinId="5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bs.nl/nl-nl/cijfers/detail/82900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0A34D-CC03-4C4B-A16C-29C93A966FD0}">
  <dimension ref="A1:Y44"/>
  <sheetViews>
    <sheetView tabSelected="1" topLeftCell="A13" zoomScale="70" zoomScaleNormal="70" workbookViewId="0">
      <selection activeCell="S43" sqref="S43"/>
    </sheetView>
  </sheetViews>
  <sheetFormatPr defaultRowHeight="14.4" x14ac:dyDescent="0.3"/>
  <cols>
    <col min="1" max="1" width="23.44140625" bestFit="1" customWidth="1"/>
    <col min="2" max="2" width="19.21875" bestFit="1" customWidth="1"/>
    <col min="3" max="3" width="13.77734375" customWidth="1"/>
    <col min="4" max="4" width="14.6640625" customWidth="1"/>
    <col min="5" max="5" width="15.44140625" bestFit="1" customWidth="1"/>
    <col min="6" max="6" width="17.33203125" bestFit="1" customWidth="1"/>
    <col min="7" max="7" width="16.21875" bestFit="1" customWidth="1"/>
    <col min="8" max="8" width="12.5546875" customWidth="1"/>
    <col min="10" max="10" width="9.77734375" bestFit="1" customWidth="1"/>
    <col min="13" max="13" width="9.77734375" bestFit="1" customWidth="1"/>
    <col min="15" max="15" width="9.77734375" bestFit="1" customWidth="1"/>
    <col min="17" max="17" width="5.21875" customWidth="1"/>
    <col min="18" max="18" width="9.77734375" bestFit="1" customWidth="1"/>
    <col min="20" max="20" width="9.77734375" bestFit="1" customWidth="1"/>
    <col min="22" max="22" width="9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s="4" t="s">
        <v>5</v>
      </c>
    </row>
    <row r="2" spans="1:8" x14ac:dyDescent="0.3">
      <c r="A2" s="6">
        <v>2020</v>
      </c>
      <c r="B2" s="8">
        <v>7891786</v>
      </c>
      <c r="C2" s="8">
        <v>4517921</v>
      </c>
      <c r="D2" s="8">
        <v>3357721</v>
      </c>
      <c r="E2" s="8">
        <v>2298885</v>
      </c>
      <c r="F2" s="8">
        <v>1058836</v>
      </c>
      <c r="G2" s="8">
        <v>16144</v>
      </c>
    </row>
    <row r="3" spans="1:8" x14ac:dyDescent="0.3">
      <c r="A3" s="6">
        <v>2021</v>
      </c>
      <c r="B3" s="8">
        <v>7966331</v>
      </c>
      <c r="C3" s="8">
        <v>4549480</v>
      </c>
      <c r="D3" s="8">
        <v>3401779</v>
      </c>
      <c r="E3" s="8">
        <v>2301737</v>
      </c>
      <c r="F3" s="8">
        <v>1100042</v>
      </c>
      <c r="G3" s="8">
        <v>15072</v>
      </c>
    </row>
    <row r="4" spans="1:8" x14ac:dyDescent="0.3">
      <c r="A4" s="6">
        <v>2022</v>
      </c>
      <c r="B4" s="8">
        <v>8045580</v>
      </c>
      <c r="C4" s="8">
        <v>4597518</v>
      </c>
      <c r="D4" s="8">
        <v>3434455</v>
      </c>
      <c r="E4" s="8">
        <v>2305772</v>
      </c>
      <c r="F4" s="8">
        <v>1128683</v>
      </c>
      <c r="G4" s="8">
        <v>13607</v>
      </c>
    </row>
    <row r="5" spans="1:8" x14ac:dyDescent="0.3">
      <c r="A5" s="6">
        <v>2023</v>
      </c>
      <c r="B5" s="8">
        <v>8125229</v>
      </c>
      <c r="C5" s="8">
        <v>4634411</v>
      </c>
      <c r="D5" s="8">
        <v>3479588</v>
      </c>
      <c r="E5" s="8">
        <v>2312981</v>
      </c>
      <c r="F5" s="8">
        <v>1166607</v>
      </c>
      <c r="G5" s="8">
        <v>11230</v>
      </c>
    </row>
    <row r="6" spans="1:8" x14ac:dyDescent="0.3">
      <c r="A6" s="7">
        <v>2024</v>
      </c>
      <c r="B6" s="8">
        <v>8204049</v>
      </c>
      <c r="C6" s="8">
        <v>4686647</v>
      </c>
      <c r="D6" s="8">
        <v>3508252</v>
      </c>
      <c r="E6" s="8">
        <v>2321421</v>
      </c>
      <c r="F6" s="8">
        <v>1186831</v>
      </c>
      <c r="G6" s="8">
        <v>9150</v>
      </c>
    </row>
    <row r="7" spans="1:8" x14ac:dyDescent="0.3">
      <c r="A7" s="6">
        <v>2025</v>
      </c>
      <c r="B7" s="8">
        <v>8274478</v>
      </c>
      <c r="C7" s="8">
        <v>4754054</v>
      </c>
      <c r="D7" s="8">
        <v>3512149</v>
      </c>
      <c r="E7" s="8">
        <v>2331463</v>
      </c>
      <c r="F7" s="8">
        <v>1180686</v>
      </c>
      <c r="G7" s="9">
        <v>8275</v>
      </c>
      <c r="H7" s="1"/>
    </row>
    <row r="8" spans="1:8" x14ac:dyDescent="0.3">
      <c r="A8" t="s">
        <v>8</v>
      </c>
      <c r="B8" s="5" t="s">
        <v>7</v>
      </c>
    </row>
    <row r="9" spans="1:8" x14ac:dyDescent="0.3">
      <c r="A9" s="2">
        <v>2020</v>
      </c>
      <c r="B9" s="12">
        <v>1</v>
      </c>
      <c r="C9" s="13">
        <f>C2/B2</f>
        <v>0.572483972576043</v>
      </c>
      <c r="D9" s="13">
        <f>D2/B2</f>
        <v>0.42547035613991563</v>
      </c>
      <c r="E9" s="10"/>
      <c r="F9" s="10"/>
      <c r="G9" s="13">
        <f>G2/B2</f>
        <v>2.0456712840414069E-3</v>
      </c>
    </row>
    <row r="10" spans="1:8" x14ac:dyDescent="0.3">
      <c r="A10" s="2"/>
      <c r="B10" s="10"/>
      <c r="C10" s="10"/>
      <c r="D10" s="18">
        <v>1</v>
      </c>
      <c r="E10" s="19">
        <f>E2/D2</f>
        <v>0.68465634875559944</v>
      </c>
      <c r="F10" s="19">
        <f>F2/D2</f>
        <v>0.31534365124440061</v>
      </c>
      <c r="G10" s="10"/>
    </row>
    <row r="11" spans="1:8" x14ac:dyDescent="0.3">
      <c r="A11" s="2">
        <v>2021</v>
      </c>
      <c r="B11" s="14">
        <v>1</v>
      </c>
      <c r="C11" s="14">
        <f>C3/B3</f>
        <v>0.57108849732706313</v>
      </c>
      <c r="D11" s="14">
        <f>D3/B3</f>
        <v>0.42701954011200388</v>
      </c>
      <c r="E11" s="11"/>
      <c r="F11" s="11"/>
      <c r="G11" s="14">
        <f>G3/B3</f>
        <v>1.8919625609330067E-3</v>
      </c>
    </row>
    <row r="12" spans="1:8" x14ac:dyDescent="0.3">
      <c r="A12" s="2"/>
      <c r="B12" s="11"/>
      <c r="C12" s="11"/>
      <c r="D12" s="20">
        <v>1</v>
      </c>
      <c r="E12" s="20">
        <f>E3/D3</f>
        <v>0.67662743523315305</v>
      </c>
      <c r="F12" s="20">
        <f>F3/D3</f>
        <v>0.323372564766847</v>
      </c>
      <c r="G12" s="11"/>
    </row>
    <row r="13" spans="1:8" x14ac:dyDescent="0.3">
      <c r="A13" s="2">
        <v>2022</v>
      </c>
      <c r="B13" s="15">
        <v>1</v>
      </c>
      <c r="C13" s="13">
        <f>C4/B4</f>
        <v>0.57143400475789186</v>
      </c>
      <c r="D13" s="13">
        <f>D4/B4</f>
        <v>0.4268747560772499</v>
      </c>
      <c r="G13" s="17">
        <f>G4/B4</f>
        <v>1.6912391648582204E-3</v>
      </c>
    </row>
    <row r="14" spans="1:8" x14ac:dyDescent="0.3">
      <c r="A14" s="2"/>
      <c r="D14" s="21">
        <v>1</v>
      </c>
      <c r="E14" s="19">
        <f>E4/D4</f>
        <v>0.67136474346002495</v>
      </c>
      <c r="F14" s="19">
        <f>F4/D4</f>
        <v>0.32863525653997505</v>
      </c>
    </row>
    <row r="15" spans="1:8" x14ac:dyDescent="0.3">
      <c r="A15" s="2">
        <v>2023</v>
      </c>
      <c r="B15" s="16">
        <v>1</v>
      </c>
      <c r="C15" s="14">
        <f>C5/B5</f>
        <v>0.57037297041104928</v>
      </c>
      <c r="D15" s="14">
        <f>D5/B5</f>
        <v>0.42824491469717346</v>
      </c>
      <c r="E15" s="3"/>
      <c r="F15" s="3"/>
      <c r="G15" s="14">
        <f>G5/B5</f>
        <v>1.382114891777204E-3</v>
      </c>
    </row>
    <row r="16" spans="1:8" x14ac:dyDescent="0.3">
      <c r="A16" s="2"/>
      <c r="B16" s="3"/>
      <c r="C16" s="3"/>
      <c r="D16" s="22">
        <v>1</v>
      </c>
      <c r="E16" s="20">
        <f>E5/D5</f>
        <v>0.66472841037502139</v>
      </c>
      <c r="F16" s="20">
        <f>F5/D5</f>
        <v>0.33527158962497861</v>
      </c>
      <c r="G16" s="3"/>
    </row>
    <row r="17" spans="1:25" x14ac:dyDescent="0.3">
      <c r="A17" s="2">
        <v>2024</v>
      </c>
      <c r="B17" s="15">
        <v>1</v>
      </c>
      <c r="C17" s="13">
        <f>C6/B6</f>
        <v>0.57126023991324282</v>
      </c>
      <c r="D17" s="13">
        <f>D6/B6</f>
        <v>0.42762445714305219</v>
      </c>
      <c r="G17" s="13">
        <f>G6/B6</f>
        <v>1.1153029437049925E-3</v>
      </c>
    </row>
    <row r="18" spans="1:25" x14ac:dyDescent="0.3">
      <c r="A18" s="2"/>
      <c r="D18" s="21">
        <v>1</v>
      </c>
      <c r="E18" s="19">
        <f>E6/D6</f>
        <v>0.66170303615589754</v>
      </c>
      <c r="F18" s="19">
        <f>F6/D6</f>
        <v>0.33829696384410241</v>
      </c>
    </row>
    <row r="19" spans="1:25" x14ac:dyDescent="0.3">
      <c r="A19" s="2">
        <v>2025</v>
      </c>
      <c r="B19" s="15">
        <v>1</v>
      </c>
      <c r="C19" s="13">
        <f>C7/B7</f>
        <v>0.5745442794095289</v>
      </c>
      <c r="D19" s="13">
        <f>D7/B7</f>
        <v>0.42445565750492054</v>
      </c>
      <c r="G19" s="13">
        <f>G7/B7</f>
        <v>1.0000630855505326E-3</v>
      </c>
    </row>
    <row r="20" spans="1:25" x14ac:dyDescent="0.3">
      <c r="D20" s="21">
        <v>1</v>
      </c>
      <c r="E20" s="19">
        <f>E7/D7</f>
        <v>0.66382804374187998</v>
      </c>
      <c r="F20" s="19">
        <f>F7/D7</f>
        <v>0.33617195625812002</v>
      </c>
    </row>
    <row r="22" spans="1:25" x14ac:dyDescent="0.3">
      <c r="A22" s="29" t="s">
        <v>9</v>
      </c>
      <c r="B22" s="29"/>
      <c r="C22" s="29"/>
      <c r="D22" s="29" t="s">
        <v>22</v>
      </c>
      <c r="E22" s="29"/>
      <c r="F22" s="29" t="s">
        <v>23</v>
      </c>
      <c r="G22" s="29"/>
      <c r="I22" s="30" t="s">
        <v>13</v>
      </c>
      <c r="J22" s="30"/>
      <c r="K22" s="30"/>
      <c r="L22" s="2" t="s">
        <v>20</v>
      </c>
      <c r="M22" s="28" t="s">
        <v>14</v>
      </c>
      <c r="N22" s="28"/>
      <c r="O22" s="28" t="s">
        <v>19</v>
      </c>
      <c r="P22" s="28"/>
      <c r="Q22" s="27"/>
      <c r="R22" s="28" t="s">
        <v>15</v>
      </c>
      <c r="S22" s="28"/>
      <c r="T22" s="28" t="s">
        <v>16</v>
      </c>
      <c r="U22" s="28"/>
      <c r="V22" s="28" t="s">
        <v>17</v>
      </c>
      <c r="W22" s="28"/>
      <c r="X22" s="28" t="s">
        <v>18</v>
      </c>
      <c r="Y22" s="28"/>
    </row>
    <row r="23" spans="1:25" x14ac:dyDescent="0.3">
      <c r="A23" s="6">
        <v>2025</v>
      </c>
      <c r="B23" s="25">
        <v>18048172</v>
      </c>
      <c r="C23" s="6"/>
      <c r="D23" s="25">
        <v>17748210</v>
      </c>
      <c r="E23" s="6"/>
      <c r="F23" s="25">
        <v>299962</v>
      </c>
      <c r="G23" s="6"/>
      <c r="I23" s="2">
        <v>2025</v>
      </c>
      <c r="J23" s="23">
        <v>8466181</v>
      </c>
      <c r="K23" s="2"/>
      <c r="L23" s="2">
        <v>2.1</v>
      </c>
      <c r="M23" s="23">
        <v>3415299</v>
      </c>
      <c r="N23" s="2"/>
      <c r="O23" s="23">
        <v>5050882</v>
      </c>
      <c r="P23" s="2"/>
      <c r="Q23" s="2"/>
      <c r="R23" s="23">
        <v>2721011</v>
      </c>
      <c r="S23" s="2"/>
      <c r="T23" s="23">
        <v>979673</v>
      </c>
      <c r="U23" s="2"/>
      <c r="V23" s="23">
        <v>950800</v>
      </c>
      <c r="W23" s="2"/>
      <c r="X23" s="23">
        <v>399397</v>
      </c>
      <c r="Y23" s="2"/>
    </row>
    <row r="24" spans="1:25" x14ac:dyDescent="0.3">
      <c r="A24" s="6">
        <v>2030</v>
      </c>
      <c r="B24" s="25">
        <v>18458056</v>
      </c>
      <c r="C24" s="26">
        <v>2.2700000000000001E-2</v>
      </c>
      <c r="D24" s="25">
        <v>18117421</v>
      </c>
      <c r="E24" s="26">
        <v>2.0799999999999999E-2</v>
      </c>
      <c r="F24" s="25">
        <v>340635</v>
      </c>
      <c r="G24" s="26">
        <v>0.1356</v>
      </c>
      <c r="I24" s="2">
        <v>2030</v>
      </c>
      <c r="J24" s="23">
        <v>8792765</v>
      </c>
      <c r="K24" s="24">
        <v>3.8600000000000002E-2</v>
      </c>
      <c r="L24" s="2">
        <v>2.06</v>
      </c>
      <c r="M24" s="23">
        <v>3653924</v>
      </c>
      <c r="N24" s="24">
        <v>6.9900000000000004E-2</v>
      </c>
      <c r="O24" s="23">
        <v>5138841</v>
      </c>
      <c r="P24" s="24">
        <v>1.7399999999999999E-2</v>
      </c>
      <c r="Q24" s="24"/>
      <c r="R24" s="23">
        <v>2796953</v>
      </c>
      <c r="S24" s="24">
        <v>2.7900000000000001E-2</v>
      </c>
      <c r="T24" s="23">
        <v>1023630</v>
      </c>
      <c r="U24" s="24">
        <v>4.4900000000000002E-2</v>
      </c>
      <c r="V24" s="23">
        <v>935584</v>
      </c>
      <c r="W24" s="24">
        <v>-1.6E-2</v>
      </c>
      <c r="X24" s="23">
        <v>382674</v>
      </c>
      <c r="Y24" s="24">
        <v>-4.19E-2</v>
      </c>
    </row>
    <row r="25" spans="1:25" x14ac:dyDescent="0.3">
      <c r="A25" s="6">
        <v>2035</v>
      </c>
      <c r="B25" s="25">
        <v>18837026</v>
      </c>
      <c r="C25" s="26">
        <v>2.0500000000000001E-2</v>
      </c>
      <c r="D25" s="25">
        <v>18462928</v>
      </c>
      <c r="E25" s="26">
        <v>1.9099999999999999E-2</v>
      </c>
      <c r="F25" s="25">
        <v>374098</v>
      </c>
      <c r="G25" s="26">
        <v>9.8199999999999996E-2</v>
      </c>
      <c r="I25" s="2">
        <v>2035</v>
      </c>
      <c r="J25" s="23">
        <v>9033143</v>
      </c>
      <c r="K25" s="24">
        <v>2.7300000000000001E-2</v>
      </c>
      <c r="L25" s="2">
        <v>2.04</v>
      </c>
      <c r="M25" s="23">
        <v>3822427</v>
      </c>
      <c r="N25" s="24">
        <v>4.6100000000000002E-2</v>
      </c>
      <c r="O25" s="23">
        <v>5210716</v>
      </c>
      <c r="P25" s="24">
        <v>1.4E-2</v>
      </c>
      <c r="Q25" s="24"/>
      <c r="R25" s="23">
        <v>2820748</v>
      </c>
      <c r="S25" s="24">
        <v>8.5000000000000006E-3</v>
      </c>
      <c r="T25" s="23">
        <v>1073329</v>
      </c>
      <c r="U25" s="24">
        <v>4.8599999999999997E-2</v>
      </c>
      <c r="V25" s="23">
        <v>942344</v>
      </c>
      <c r="W25" s="24">
        <v>7.1999999999999998E-3</v>
      </c>
      <c r="X25" s="23">
        <v>374295</v>
      </c>
      <c r="Y25" s="24">
        <v>-2.1899999999999999E-2</v>
      </c>
    </row>
    <row r="26" spans="1:25" x14ac:dyDescent="0.3">
      <c r="A26" s="6">
        <v>2040</v>
      </c>
      <c r="B26" s="25">
        <v>19180673</v>
      </c>
      <c r="C26" s="26">
        <v>1.8200000000000001E-2</v>
      </c>
      <c r="D26" s="25">
        <v>18778324</v>
      </c>
      <c r="E26" s="26">
        <v>1.7100000000000001E-2</v>
      </c>
      <c r="F26" s="25">
        <v>402349</v>
      </c>
      <c r="G26" s="26">
        <v>7.5499999999999998E-2</v>
      </c>
      <c r="I26" s="2">
        <v>2040</v>
      </c>
      <c r="J26" s="23">
        <v>9212779</v>
      </c>
      <c r="K26" s="24">
        <v>1.9900000000000001E-2</v>
      </c>
      <c r="L26" s="2">
        <v>2.04</v>
      </c>
      <c r="M26" s="23">
        <v>3946347</v>
      </c>
      <c r="N26" s="24">
        <v>3.2399999999999998E-2</v>
      </c>
      <c r="O26" s="23">
        <v>5266432</v>
      </c>
      <c r="P26" s="24">
        <v>1.0699999999999999E-2</v>
      </c>
      <c r="Q26" s="24"/>
      <c r="R26" s="23">
        <v>2809494</v>
      </c>
      <c r="S26" s="24">
        <v>-4.0000000000000001E-3</v>
      </c>
      <c r="T26" s="23">
        <v>1121767</v>
      </c>
      <c r="U26" s="24">
        <v>4.5100000000000001E-2</v>
      </c>
      <c r="V26" s="23">
        <v>963488</v>
      </c>
      <c r="W26" s="24">
        <v>2.24E-2</v>
      </c>
      <c r="X26" s="23">
        <v>371683</v>
      </c>
      <c r="Y26" s="24">
        <v>-7.0000000000000001E-3</v>
      </c>
    </row>
    <row r="27" spans="1:25" x14ac:dyDescent="0.3">
      <c r="A27" s="6">
        <v>2045</v>
      </c>
      <c r="B27" s="25">
        <v>19460679</v>
      </c>
      <c r="C27" s="26">
        <v>1.46E-2</v>
      </c>
      <c r="D27" s="25">
        <v>19036403</v>
      </c>
      <c r="E27" s="26">
        <v>1.37E-2</v>
      </c>
      <c r="F27" s="25">
        <v>424276</v>
      </c>
      <c r="G27" s="26">
        <v>5.45E-2</v>
      </c>
      <c r="I27" s="2">
        <v>2045</v>
      </c>
      <c r="J27" s="23">
        <v>9340956</v>
      </c>
      <c r="K27" s="24">
        <v>1.3899999999999999E-2</v>
      </c>
      <c r="L27" s="2">
        <v>2.04</v>
      </c>
      <c r="M27" s="23">
        <v>4027469</v>
      </c>
      <c r="N27" s="24">
        <v>2.06E-2</v>
      </c>
      <c r="O27" s="23">
        <v>5313487</v>
      </c>
      <c r="P27" s="24">
        <v>8.8999999999999999E-3</v>
      </c>
      <c r="Q27" s="24"/>
      <c r="R27" s="23">
        <v>2791230</v>
      </c>
      <c r="S27" s="24">
        <v>-6.4999999999999997E-3</v>
      </c>
      <c r="T27" s="23">
        <v>1164745</v>
      </c>
      <c r="U27" s="24">
        <v>3.8300000000000001E-2</v>
      </c>
      <c r="V27" s="23">
        <v>987781</v>
      </c>
      <c r="W27" s="24">
        <v>2.52E-2</v>
      </c>
      <c r="X27" s="23">
        <v>369731</v>
      </c>
      <c r="Y27" s="24">
        <v>-5.3E-3</v>
      </c>
    </row>
    <row r="28" spans="1:25" x14ac:dyDescent="0.3">
      <c r="A28" s="6">
        <v>2050</v>
      </c>
      <c r="B28" s="25">
        <v>19687645</v>
      </c>
      <c r="C28" s="26">
        <v>1.17E-2</v>
      </c>
      <c r="D28" s="25">
        <v>19244559</v>
      </c>
      <c r="E28" s="26">
        <v>1.09E-2</v>
      </c>
      <c r="F28" s="25">
        <v>443086</v>
      </c>
      <c r="G28" s="26">
        <v>4.4299999999999999E-2</v>
      </c>
      <c r="I28" s="2">
        <v>2050</v>
      </c>
      <c r="J28" s="23">
        <v>9436866</v>
      </c>
      <c r="K28" s="24">
        <v>1.03E-2</v>
      </c>
      <c r="L28" s="2">
        <v>2.04</v>
      </c>
      <c r="M28" s="23">
        <v>4082588</v>
      </c>
      <c r="N28" s="24">
        <v>1.37E-2</v>
      </c>
      <c r="O28" s="23">
        <v>5354278</v>
      </c>
      <c r="P28" s="24">
        <v>7.7000000000000002E-3</v>
      </c>
      <c r="Q28" s="24"/>
      <c r="R28" s="23">
        <v>2775631</v>
      </c>
      <c r="S28" s="24">
        <v>-5.5999999999999999E-3</v>
      </c>
      <c r="T28" s="23">
        <v>1200161</v>
      </c>
      <c r="U28" s="24">
        <v>3.04E-2</v>
      </c>
      <c r="V28" s="23">
        <v>1011539</v>
      </c>
      <c r="W28" s="24">
        <v>2.41E-2</v>
      </c>
      <c r="X28" s="23">
        <v>366947</v>
      </c>
      <c r="Y28" s="24">
        <v>-7.4999999999999997E-3</v>
      </c>
    </row>
    <row r="29" spans="1:25" x14ac:dyDescent="0.3">
      <c r="A29" s="6">
        <v>2055</v>
      </c>
      <c r="B29" s="25">
        <v>19877635</v>
      </c>
      <c r="C29" s="26">
        <v>9.7000000000000003E-3</v>
      </c>
      <c r="D29" s="25">
        <v>19420378</v>
      </c>
      <c r="E29" s="26">
        <v>9.1000000000000004E-3</v>
      </c>
      <c r="F29" s="25">
        <v>457257</v>
      </c>
      <c r="G29" s="26">
        <v>3.2000000000000001E-2</v>
      </c>
      <c r="I29" s="2">
        <v>2055</v>
      </c>
      <c r="J29" s="23">
        <v>9532133</v>
      </c>
      <c r="K29" s="24">
        <v>1.01E-2</v>
      </c>
      <c r="L29" s="2">
        <v>2.04</v>
      </c>
      <c r="M29" s="23">
        <v>4135847</v>
      </c>
      <c r="N29" s="24">
        <v>1.2999999999999999E-2</v>
      </c>
      <c r="O29" s="23">
        <v>5396286</v>
      </c>
      <c r="P29" s="24">
        <v>7.7999999999999996E-3</v>
      </c>
      <c r="Q29" s="24"/>
      <c r="R29" s="23">
        <v>2780345</v>
      </c>
      <c r="S29" s="24">
        <v>1.6999999999999999E-3</v>
      </c>
      <c r="T29" s="23">
        <v>1231707</v>
      </c>
      <c r="U29" s="24">
        <v>2.63E-2</v>
      </c>
      <c r="V29" s="23">
        <v>1019134</v>
      </c>
      <c r="W29" s="24">
        <v>7.4999999999999997E-3</v>
      </c>
      <c r="X29" s="23">
        <v>365101</v>
      </c>
      <c r="Y29" s="24">
        <v>-5.0000000000000001E-3</v>
      </c>
    </row>
    <row r="30" spans="1:25" x14ac:dyDescent="0.3">
      <c r="A30" s="6">
        <v>2060</v>
      </c>
      <c r="B30" s="25">
        <v>20065830</v>
      </c>
      <c r="C30" s="26">
        <v>9.4999999999999998E-3</v>
      </c>
      <c r="D30" s="25">
        <v>19604095</v>
      </c>
      <c r="E30" s="26">
        <v>9.4999999999999998E-3</v>
      </c>
      <c r="F30" s="25">
        <v>461735</v>
      </c>
      <c r="G30" s="26">
        <v>9.7999999999999997E-3</v>
      </c>
      <c r="I30" s="2">
        <v>2060</v>
      </c>
      <c r="J30" s="23">
        <v>9650249</v>
      </c>
      <c r="K30" s="24">
        <v>1.24E-2</v>
      </c>
      <c r="L30" s="2">
        <v>2.0299999999999998</v>
      </c>
      <c r="M30" s="23">
        <v>4196388</v>
      </c>
      <c r="N30" s="24">
        <v>1.46E-2</v>
      </c>
      <c r="O30" s="23">
        <v>5453861</v>
      </c>
      <c r="P30" s="24">
        <v>1.0699999999999999E-2</v>
      </c>
      <c r="Q30" s="24"/>
      <c r="R30" s="23">
        <v>2819688</v>
      </c>
      <c r="S30" s="24">
        <v>1.4200000000000001E-2</v>
      </c>
      <c r="T30" s="23">
        <v>1255586</v>
      </c>
      <c r="U30" s="24">
        <v>1.9400000000000001E-2</v>
      </c>
      <c r="V30" s="23">
        <v>1015507</v>
      </c>
      <c r="W30" s="24">
        <v>-3.5999999999999999E-3</v>
      </c>
      <c r="X30" s="23">
        <v>363080</v>
      </c>
      <c r="Y30" s="24">
        <v>-5.4999999999999997E-3</v>
      </c>
    </row>
    <row r="31" spans="1:25" x14ac:dyDescent="0.3">
      <c r="A31" s="6">
        <v>2065</v>
      </c>
      <c r="B31" s="25">
        <v>20308627</v>
      </c>
      <c r="C31" s="26">
        <v>1.21E-2</v>
      </c>
      <c r="D31" s="25">
        <v>19850427</v>
      </c>
      <c r="E31" s="26">
        <v>1.26E-2</v>
      </c>
      <c r="F31" s="25">
        <v>458200</v>
      </c>
      <c r="G31" s="26">
        <v>-7.7000000000000002E-3</v>
      </c>
      <c r="I31" s="2">
        <v>2065</v>
      </c>
      <c r="J31" s="23">
        <v>9796847</v>
      </c>
      <c r="K31" s="24">
        <v>1.52E-2</v>
      </c>
      <c r="L31" s="2">
        <v>2.0299999999999998</v>
      </c>
      <c r="M31" s="23">
        <v>4264940</v>
      </c>
      <c r="N31" s="24">
        <v>1.6299999999999999E-2</v>
      </c>
      <c r="O31" s="23">
        <v>5531907</v>
      </c>
      <c r="P31" s="24">
        <v>1.43E-2</v>
      </c>
      <c r="Q31" s="24"/>
      <c r="R31" s="23">
        <v>2879802</v>
      </c>
      <c r="S31" s="24">
        <v>2.1299999999999999E-2</v>
      </c>
      <c r="T31" s="23">
        <v>1270171</v>
      </c>
      <c r="U31" s="24">
        <v>1.1599999999999999E-2</v>
      </c>
      <c r="V31" s="23">
        <v>1017294</v>
      </c>
      <c r="W31" s="24">
        <v>1.8E-3</v>
      </c>
      <c r="X31" s="23">
        <v>364640</v>
      </c>
      <c r="Y31" s="24">
        <v>4.3E-3</v>
      </c>
    </row>
    <row r="32" spans="1:25" x14ac:dyDescent="0.3">
      <c r="A32" s="6">
        <v>2070</v>
      </c>
      <c r="B32" s="25">
        <v>20631415</v>
      </c>
      <c r="C32" s="26">
        <v>1.5900000000000001E-2</v>
      </c>
      <c r="D32" s="25">
        <v>20175724</v>
      </c>
      <c r="E32" s="26">
        <v>1.6400000000000001E-2</v>
      </c>
      <c r="F32" s="25">
        <v>455691</v>
      </c>
      <c r="G32" s="26">
        <v>-5.4999999999999997E-3</v>
      </c>
      <c r="I32" s="2">
        <v>2070</v>
      </c>
      <c r="J32" s="23">
        <v>9968283</v>
      </c>
      <c r="K32" s="24">
        <v>1.7500000000000002E-2</v>
      </c>
      <c r="L32" s="2">
        <v>2.02</v>
      </c>
      <c r="M32" s="23">
        <v>4345812</v>
      </c>
      <c r="N32" s="24">
        <v>1.9E-2</v>
      </c>
      <c r="O32" s="23">
        <v>5622471</v>
      </c>
      <c r="P32" s="24">
        <v>1.6400000000000001E-2</v>
      </c>
      <c r="Q32" s="24"/>
      <c r="R32" s="23">
        <v>2940316</v>
      </c>
      <c r="S32" s="24">
        <v>2.1000000000000001E-2</v>
      </c>
      <c r="T32" s="23">
        <v>1277998</v>
      </c>
      <c r="U32" s="24">
        <v>6.1999999999999998E-3</v>
      </c>
      <c r="V32" s="23">
        <v>1029849</v>
      </c>
      <c r="W32" s="24">
        <v>1.23E-2</v>
      </c>
      <c r="X32" s="23">
        <v>374307</v>
      </c>
      <c r="Y32" s="24">
        <v>2.6499999999999999E-2</v>
      </c>
    </row>
    <row r="34" spans="1:12" x14ac:dyDescent="0.3">
      <c r="A34" t="s">
        <v>25</v>
      </c>
      <c r="B34" s="29" t="s">
        <v>10</v>
      </c>
      <c r="C34" s="29"/>
      <c r="D34" s="29" t="s">
        <v>11</v>
      </c>
      <c r="E34" s="29"/>
      <c r="F34" s="29" t="s">
        <v>12</v>
      </c>
      <c r="G34" s="29"/>
      <c r="I34" s="31" t="s">
        <v>24</v>
      </c>
      <c r="J34" s="31"/>
      <c r="K34" s="31" t="s">
        <v>21</v>
      </c>
      <c r="L34" s="31"/>
    </row>
    <row r="35" spans="1:12" x14ac:dyDescent="0.3">
      <c r="A35" s="6">
        <v>2025</v>
      </c>
      <c r="B35" s="25">
        <v>4664414</v>
      </c>
      <c r="C35" s="6"/>
      <c r="D35" s="25">
        <v>3415300</v>
      </c>
      <c r="E35" s="6"/>
      <c r="F35" s="25">
        <v>8759623</v>
      </c>
      <c r="G35" s="6"/>
      <c r="I35" s="25">
        <v>624205</v>
      </c>
      <c r="J35" s="6"/>
      <c r="K35" s="25">
        <v>284668</v>
      </c>
      <c r="L35" s="6"/>
    </row>
    <row r="36" spans="1:12" x14ac:dyDescent="0.3">
      <c r="A36" s="6">
        <v>2030</v>
      </c>
      <c r="B36" s="25">
        <v>4647872</v>
      </c>
      <c r="C36" s="26">
        <v>-3.5000000000000001E-3</v>
      </c>
      <c r="D36" s="25">
        <v>3653925</v>
      </c>
      <c r="E36" s="26">
        <v>6.9900000000000004E-2</v>
      </c>
      <c r="F36" s="25">
        <v>8884776</v>
      </c>
      <c r="G36" s="26">
        <v>1.43E-2</v>
      </c>
      <c r="I36" s="25">
        <v>648904</v>
      </c>
      <c r="J36" s="26">
        <v>3.9600000000000003E-2</v>
      </c>
      <c r="K36" s="25">
        <v>281944</v>
      </c>
      <c r="L36" s="26">
        <v>-9.5999999999999992E-3</v>
      </c>
    </row>
    <row r="37" spans="1:12" x14ac:dyDescent="0.3">
      <c r="A37" s="6">
        <v>2035</v>
      </c>
      <c r="B37" s="25">
        <v>4701496</v>
      </c>
      <c r="C37" s="26">
        <v>1.15E-2</v>
      </c>
      <c r="D37" s="25">
        <v>3822440</v>
      </c>
      <c r="E37" s="26">
        <v>4.6100000000000002E-2</v>
      </c>
      <c r="F37" s="25">
        <v>8980740</v>
      </c>
      <c r="G37" s="26">
        <v>1.0800000000000001E-2</v>
      </c>
      <c r="I37" s="25">
        <v>672500</v>
      </c>
      <c r="J37" s="26">
        <v>3.6400000000000002E-2</v>
      </c>
      <c r="K37" s="25">
        <v>285752</v>
      </c>
      <c r="L37" s="26">
        <v>1.35E-2</v>
      </c>
    </row>
    <row r="38" spans="1:12" x14ac:dyDescent="0.3">
      <c r="A38" s="6">
        <v>2040</v>
      </c>
      <c r="B38" s="25">
        <v>4802751</v>
      </c>
      <c r="C38" s="26">
        <v>2.1499999999999998E-2</v>
      </c>
      <c r="D38" s="25">
        <v>3946342</v>
      </c>
      <c r="E38" s="26">
        <v>3.2399999999999998E-2</v>
      </c>
      <c r="F38" s="25">
        <v>9040009</v>
      </c>
      <c r="G38" s="26">
        <v>6.6E-3</v>
      </c>
      <c r="I38" s="25">
        <v>698589</v>
      </c>
      <c r="J38" s="26">
        <v>3.8800000000000001E-2</v>
      </c>
      <c r="K38" s="25">
        <v>290633</v>
      </c>
      <c r="L38" s="26">
        <v>1.7100000000000001E-2</v>
      </c>
    </row>
    <row r="39" spans="1:12" x14ac:dyDescent="0.3">
      <c r="A39" s="6">
        <v>2045</v>
      </c>
      <c r="B39" s="25">
        <v>4911461</v>
      </c>
      <c r="C39" s="26">
        <v>2.2599999999999999E-2</v>
      </c>
      <c r="D39" s="25">
        <v>4027481</v>
      </c>
      <c r="E39" s="26">
        <v>2.06E-2</v>
      </c>
      <c r="F39" s="25">
        <v>9074320</v>
      </c>
      <c r="G39" s="26">
        <v>3.8E-3</v>
      </c>
      <c r="I39" s="25">
        <v>728635</v>
      </c>
      <c r="J39" s="26">
        <v>4.2999999999999997E-2</v>
      </c>
      <c r="K39" s="25">
        <v>294506</v>
      </c>
      <c r="L39" s="26">
        <v>1.3299999999999999E-2</v>
      </c>
    </row>
    <row r="40" spans="1:12" x14ac:dyDescent="0.3">
      <c r="A40" s="6">
        <v>2050</v>
      </c>
      <c r="B40" s="25">
        <v>5009613</v>
      </c>
      <c r="C40" s="26">
        <v>0.02</v>
      </c>
      <c r="D40" s="25">
        <v>4082588</v>
      </c>
      <c r="E40" s="26">
        <v>1.37E-2</v>
      </c>
      <c r="F40" s="25">
        <v>9094576</v>
      </c>
      <c r="G40" s="26">
        <v>2.2000000000000001E-3</v>
      </c>
      <c r="I40" s="25">
        <v>759275</v>
      </c>
      <c r="J40" s="26">
        <v>4.2099999999999999E-2</v>
      </c>
      <c r="K40" s="25">
        <v>298507</v>
      </c>
      <c r="L40" s="26">
        <v>1.3599999999999999E-2</v>
      </c>
    </row>
    <row r="41" spans="1:12" x14ac:dyDescent="0.3">
      <c r="A41" s="6">
        <v>2055</v>
      </c>
      <c r="B41" s="25">
        <v>5066371</v>
      </c>
      <c r="C41" s="26">
        <v>1.1299999999999999E-2</v>
      </c>
      <c r="D41" s="25">
        <v>4135849</v>
      </c>
      <c r="E41" s="26">
        <v>1.2999999999999999E-2</v>
      </c>
      <c r="F41" s="25">
        <v>9131886</v>
      </c>
      <c r="G41" s="26">
        <v>4.1000000000000003E-3</v>
      </c>
      <c r="I41" s="25">
        <v>781953</v>
      </c>
      <c r="J41" s="26">
        <v>2.9899999999999999E-2</v>
      </c>
      <c r="K41" s="25">
        <v>304319</v>
      </c>
      <c r="L41" s="26">
        <v>1.95E-2</v>
      </c>
    </row>
    <row r="42" spans="1:12" x14ac:dyDescent="0.3">
      <c r="A42" s="6">
        <v>2060</v>
      </c>
      <c r="B42" s="25">
        <v>5079453</v>
      </c>
      <c r="C42" s="26">
        <v>2.5999999999999999E-3</v>
      </c>
      <c r="D42" s="25">
        <v>4196383</v>
      </c>
      <c r="E42" s="26">
        <v>1.46E-2</v>
      </c>
      <c r="F42" s="25">
        <v>9226111</v>
      </c>
      <c r="G42" s="26">
        <v>1.03E-2</v>
      </c>
      <c r="I42" s="25">
        <v>791156</v>
      </c>
      <c r="J42" s="26">
        <v>1.18E-2</v>
      </c>
      <c r="K42" s="25">
        <v>310992</v>
      </c>
      <c r="L42" s="26">
        <v>2.1899999999999999E-2</v>
      </c>
    </row>
    <row r="43" spans="1:12" x14ac:dyDescent="0.3">
      <c r="A43" s="6">
        <v>2065</v>
      </c>
      <c r="B43" s="25">
        <v>5099393</v>
      </c>
      <c r="C43" s="26">
        <v>3.8999999999999998E-3</v>
      </c>
      <c r="D43" s="25">
        <v>4264951</v>
      </c>
      <c r="E43" s="26">
        <v>1.6299999999999999E-2</v>
      </c>
      <c r="F43" s="25">
        <v>9375911</v>
      </c>
      <c r="G43" s="26">
        <v>1.6199999999999999E-2</v>
      </c>
      <c r="I43" s="25">
        <v>793082</v>
      </c>
      <c r="J43" s="26">
        <v>2.3999999999999998E-3</v>
      </c>
      <c r="K43" s="25">
        <v>317090</v>
      </c>
      <c r="L43" s="26">
        <v>1.9599999999999999E-2</v>
      </c>
    </row>
    <row r="44" spans="1:12" x14ac:dyDescent="0.3">
      <c r="A44" s="6">
        <v>2070</v>
      </c>
      <c r="B44" s="25">
        <v>5161774</v>
      </c>
      <c r="C44" s="26">
        <v>1.2200000000000001E-2</v>
      </c>
      <c r="D44" s="25">
        <v>4345820</v>
      </c>
      <c r="E44" s="26">
        <v>1.9E-2</v>
      </c>
      <c r="F44" s="25">
        <v>9549546</v>
      </c>
      <c r="G44" s="26">
        <v>1.8499999999999999E-2</v>
      </c>
      <c r="I44" s="25">
        <v>795994</v>
      </c>
      <c r="J44" s="26">
        <v>3.7000000000000002E-3</v>
      </c>
      <c r="K44" s="25">
        <v>322590</v>
      </c>
      <c r="L44" s="26">
        <v>1.7299999999999999E-2</v>
      </c>
    </row>
  </sheetData>
  <mergeCells count="13">
    <mergeCell ref="A22:C22"/>
    <mergeCell ref="D22:E22"/>
    <mergeCell ref="F22:G22"/>
    <mergeCell ref="B34:C34"/>
    <mergeCell ref="D34:E34"/>
    <mergeCell ref="F34:G34"/>
    <mergeCell ref="T22:U22"/>
    <mergeCell ref="V22:W22"/>
    <mergeCell ref="X22:Y22"/>
    <mergeCell ref="I22:K22"/>
    <mergeCell ref="M22:N22"/>
    <mergeCell ref="O22:P22"/>
    <mergeCell ref="R22:S22"/>
  </mergeCells>
  <conditionalFormatting sqref="J36:J44 C24:C32 E24:E32 G24:G32 L36:L44 G36:G44 E36:E44 C36:C4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4:K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4:N32 P24:Q32 S24:S32 U24:U32 W24:W32 Y24:Y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B8" r:id="rId1" xr:uid="{1599C479-0D29-4D73-A2FA-210FD2A3AE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Woningvoorraad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Berend Dirken (student)</dc:creator>
  <cp:lastModifiedBy>Berend Dirken (student)</cp:lastModifiedBy>
  <dcterms:created xsi:type="dcterms:W3CDTF">2026-04-16T09:52:30Z</dcterms:created>
  <dcterms:modified xsi:type="dcterms:W3CDTF">2026-05-21T12:39:37Z</dcterms:modified>
</cp:coreProperties>
</file>